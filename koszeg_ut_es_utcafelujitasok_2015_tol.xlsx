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rsolya\OneDrive - Budapesti Vasutas Sport Club - Zugló Közhasznú Egyesület\Asztal\Osint\"/>
    </mc:Choice>
  </mc:AlternateContent>
  <xr:revisionPtr revIDLastSave="0" documentId="8_{6119F4AD-3CB0-4A72-B513-74BD54A663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őszeg_projektek" sheetId="1" r:id="rId1"/>
    <sheet name="Összesítő" sheetId="2" r:id="rId2"/>
    <sheet name="Források" sheetId="3" r:id="rId3"/>
    <sheet name="Ellenőrzendő" sheetId="4" r:id="rId4"/>
    <sheet name="Meta" sheetId="5" r:id="rId5"/>
  </sheets>
  <definedNames>
    <definedName name="_xlnm._FilterDatabase" localSheetId="0" hidden="1">Kőszeg_projektek!$A$1:$N$45</definedName>
  </definedNames>
  <calcPr calcId="191029"/>
  <fileRecoveryPr repairLoad="1"/>
</workbook>
</file>

<file path=xl/calcChain.xml><?xml version="1.0" encoding="utf-8"?>
<calcChain xmlns="http://schemas.openxmlformats.org/spreadsheetml/2006/main">
  <c r="H2" i="2" l="1"/>
</calcChain>
</file>

<file path=xl/sharedStrings.xml><?xml version="1.0" encoding="utf-8"?>
<sst xmlns="http://schemas.openxmlformats.org/spreadsheetml/2006/main" count="505" uniqueCount="220">
  <si>
    <t>Időszak</t>
  </si>
  <si>
    <t>Év kezdete</t>
  </si>
  <si>
    <t>Év vége</t>
  </si>
  <si>
    <t>Település</t>
  </si>
  <si>
    <t>Utca / út / szakasz</t>
  </si>
  <si>
    <t>Projekt típusa</t>
  </si>
  <si>
    <t>Hossz</t>
  </si>
  <si>
    <t>Költség / támogatás (Ft)</t>
  </si>
  <si>
    <t>Finanszírozás / azonosító</t>
  </si>
  <si>
    <t>Kivitelező</t>
  </si>
  <si>
    <t>Státusz</t>
  </si>
  <si>
    <t>Adatbiztonság</t>
  </si>
  <si>
    <t>Forrás URL</t>
  </si>
  <si>
    <t>Megjegyzés</t>
  </si>
  <si>
    <t>2017–2019</t>
  </si>
  <si>
    <t>Kőszeg</t>
  </si>
  <si>
    <t>Pogányi út</t>
  </si>
  <si>
    <t>közlekedésfejlesztés / kerékpárosbarát útfejlesztés</t>
  </si>
  <si>
    <t>TOP-3.1.1-15-VS1-2016-00001</t>
  </si>
  <si>
    <t>megvalósult projektcsomag része</t>
  </si>
  <si>
    <t>magas</t>
  </si>
  <si>
    <t>https://koszeg.hu/hu/onkormanyzat/projektek/content.php?id=10970 ; https://befektetes.koszeg.hu/hu/projektek/koszeg-deli-varosreszenek-kozlekedesfejlesztese-12342.html</t>
  </si>
  <si>
    <t>A déli városrész közlekedésfejlesztési projektje. A 326,6 M Ft támogatás projektösszeg, nem csak erre az utcára vonatkozik.</t>
  </si>
  <si>
    <t>Gábor Áron utca</t>
  </si>
  <si>
    <t>lakóutca burkolat-felújítás / közlekedésfejlesztés</t>
  </si>
  <si>
    <t>Projektcsomagban nevesített érintett utca.</t>
  </si>
  <si>
    <t>Forintos Mátyás utca</t>
  </si>
  <si>
    <t>Rákóczi Ferenc utca</t>
  </si>
  <si>
    <t>közlekedésfejlesztés / kerékpárforgalmi létesítmény / burkolati beavatkozás</t>
  </si>
  <si>
    <t>A projekt célja a Rákóczi és Rohonci utcák tehermentesítése is volt.</t>
  </si>
  <si>
    <t>2021</t>
  </si>
  <si>
    <t>Erdészház utca</t>
  </si>
  <si>
    <t>útburkolat felújítás</t>
  </si>
  <si>
    <t>340 m</t>
  </si>
  <si>
    <t>BMÖGF/1004-1/2020 támogatói okirat / térségi fejlesztés</t>
  </si>
  <si>
    <t>közbeszerzési tervben / önkormányzati projekt</t>
  </si>
  <si>
    <t>https://koszeg.hu/pictures/downloadmanager/download.php?id=2801 ; https://koszeg.hu/hu/onkormanyzat/testulet/hatarozatok/hatarozat.php?ev=2021&amp;id=3120</t>
  </si>
  <si>
    <t>2021. évi közbeszerzési tervben nevesítve, mennyiséggel.</t>
  </si>
  <si>
    <t>Borsmonostori utca</t>
  </si>
  <si>
    <t>234 m</t>
  </si>
  <si>
    <t>2021. évi közbeszerzési tervben nevesítve.</t>
  </si>
  <si>
    <t>Vámház utca</t>
  </si>
  <si>
    <t>321 m</t>
  </si>
  <si>
    <t>Herman Ottó utca</t>
  </si>
  <si>
    <t>189 m</t>
  </si>
  <si>
    <t>Várkör Észak – Zsinagóga és Rajnis utca között</t>
  </si>
  <si>
    <t>parkoló-, járda- és útburkolat felújítás</t>
  </si>
  <si>
    <t>BMÖGF/1004-1/2020 támogatói okirat</t>
  </si>
  <si>
    <t>közbeszerzési tervben</t>
  </si>
  <si>
    <t>https://koszeg.hu/pictures/downloadmanager/download.php?id=2801</t>
  </si>
  <si>
    <t>A közbeszerzési tervben Várkör Észak szakaszként szerepel.</t>
  </si>
  <si>
    <t>Zrínyi Miklós utca</t>
  </si>
  <si>
    <t>útburkolat és járda felújítás</t>
  </si>
  <si>
    <t>A közbeszerzési tervben nevesítve.</t>
  </si>
  <si>
    <t>Gyöngyös utca</t>
  </si>
  <si>
    <t>https://koszeg.hu/pictures/downloadmanager/download.php?id=2801 ; https://koszeg.hu/hu/onkormanyzat/testulet/ulesek/eloterjesztes.php?id=4076</t>
  </si>
  <si>
    <t>Közbeszerzési tervben és 2021-es előterjesztésben is szerepel.</t>
  </si>
  <si>
    <t>Malomárok utca</t>
  </si>
  <si>
    <t>2021–2022</t>
  </si>
  <si>
    <t>Írottkő utcai parkoló / lakótelepi út</t>
  </si>
  <si>
    <t>parkoló- és útfelújítás</t>
  </si>
  <si>
    <t>önkormányzati / támogatott belterületi program</t>
  </si>
  <si>
    <t>projektlistában szerepel</t>
  </si>
  <si>
    <t>közepes</t>
  </si>
  <si>
    <t>https://koszeg.hu/hu/onkormanyzat/testulet/ulesek/eloterjesztes.php?id=4076 ; https://koszeg.hu/pictures/koszeg/kev/kev_20220117_112.pdf</t>
  </si>
  <si>
    <t>Előterjesztésben és helyi újságban szerepel. Pontos műszaki és pénzügyi bontás később ellenőrizendő.</t>
  </si>
  <si>
    <t>Festetich Imre utca</t>
  </si>
  <si>
    <t>útfelújítás</t>
  </si>
  <si>
    <t>https://koszeg.hu/hu/onkormanyzat/testulet/ulesek/eloterjesztes.php?id=4076 ; https://koszeg.hu/hu/onkormanyzat/hirek/content.php?id=14248</t>
  </si>
  <si>
    <t>Önkormányzati előterjesztés és összegzés alapján.</t>
  </si>
  <si>
    <t>Gesztenyefa utca</t>
  </si>
  <si>
    <t>Felső körút</t>
  </si>
  <si>
    <t>útfelújítás / járda / kapcsolódó parkoló</t>
  </si>
  <si>
    <t>projektlistában és helyi újságban szerepel</t>
  </si>
  <si>
    <t>https://koszeg.hu/hu/onkormanyzat/testulet/ulesek/eloterjesztes.php?id=4076 ; https://koszeg.hu/pictures/koszeg/kev/kev_20221010_121.pdf ; https://koszeg.hu/pictures/koszeg/kev/kev_20220117_112.pdf</t>
  </si>
  <si>
    <t>Több forrás említi; pontos szakasz és költség külön ellenőrzendő.</t>
  </si>
  <si>
    <t>Ólmodi út</t>
  </si>
  <si>
    <t>A 2026-os helyi újság külön Ólmodi bekötő út 370 m felújítást is említ, külön sorban rögzítve.</t>
  </si>
  <si>
    <t>Munkás utca</t>
  </si>
  <si>
    <t>Hegyalja utca</t>
  </si>
  <si>
    <t>https://koszeg.hu/hu/onkormanyzat/testulet/ulesek/eloterjesztes.php?id=4076 ; https://koszeg.hu/hu/onkormanyzat/hirek/content.php?id=14248 ; https://koszeg.hu/pictures/koszeg/kev/kev_20220117_112.pdf</t>
  </si>
  <si>
    <t>Hegyalja–Mélyút összefüggésben is megjelenik.</t>
  </si>
  <si>
    <t>Mélyút</t>
  </si>
  <si>
    <t>vízelvezető vápa / útkapcsolódó fejlesztés</t>
  </si>
  <si>
    <t>Nem tiszta klasszikus útfelújítás, de közlekedési/útkörnyezet fejlesztésként rögzítve.</t>
  </si>
  <si>
    <t>Várkör – Táncsics utcai tömbbelső</t>
  </si>
  <si>
    <t>parkoló kialakítás / belső közlekedési felület</t>
  </si>
  <si>
    <t>https://koszeg.hu/hu/onkormanyzat/testulet/ulesek/eloterjesztes.php?id=4076</t>
  </si>
  <si>
    <t>Tömbbelső parkoló kialakításként szerepel.</t>
  </si>
  <si>
    <t>Dózsa György utca</t>
  </si>
  <si>
    <t>Deák Ferenc utca parkolója</t>
  </si>
  <si>
    <t>parkolófelújítás</t>
  </si>
  <si>
    <t>elnyert támogatás / önkormányzati program</t>
  </si>
  <si>
    <t>helyi újságban felsorolt felújítás</t>
  </si>
  <si>
    <t>https://koszeg.hu/pictures/koszeg/kev/kev_20210519_104.pdf</t>
  </si>
  <si>
    <t>Helyi lap felsorolásában szerepel.</t>
  </si>
  <si>
    <t>Fekete-kert parkoló</t>
  </si>
  <si>
    <t>https://koszeg.hu/pictures/koszeg/kev/kev_20210519_104.pdf ; https://koszeg.hu/hu/onkormanyzat/hirek/content.php?id=14248</t>
  </si>
  <si>
    <t>A korábbi listában Fekete kert környéke néven is szerepelt.</t>
  </si>
  <si>
    <t>Felsőerdő utca</t>
  </si>
  <si>
    <t>Hunyadi utca</t>
  </si>
  <si>
    <t>Károlyi Mihály utca</t>
  </si>
  <si>
    <t>Kiss János lakótelep belső parkoló</t>
  </si>
  <si>
    <t>parkolóbővítés / belső út</t>
  </si>
  <si>
    <t>Parkolóbővítésként szerepel.</t>
  </si>
  <si>
    <t>Munkácsy Mihály utca</t>
  </si>
  <si>
    <t>útfelújítás / kapcsolódó járda</t>
  </si>
  <si>
    <t>Helyi lap felsorolásában Munkácsy utcaként szerepel.</t>
  </si>
  <si>
    <t>Panoráma körút</t>
  </si>
  <si>
    <t>Petőfi tér két szakasza és parkolója</t>
  </si>
  <si>
    <t>útfelújítás / parkolófelújítás</t>
  </si>
  <si>
    <t>Pontos szakasz bontása később ellenőrizendő.</t>
  </si>
  <si>
    <t>Rómer Flóris utca társasházas ága</t>
  </si>
  <si>
    <t>Korábban Rómer Flóris utca Velemi–Rákóczi szakaszként is említve; összevonás/duplikáció később tisztázandó.</t>
  </si>
  <si>
    <t>Sigray utca felső szakasza és 28. szám parkolója</t>
  </si>
  <si>
    <t>Strand sétány</t>
  </si>
  <si>
    <t>útfelújítás / sétányfelújítás</t>
  </si>
  <si>
    <t>Űrhajósok utcája családi házas szakasza</t>
  </si>
  <si>
    <t>https://koszeg.hu/pictures/koszeg/kev/kev_20210519_104.pdf ; https://koszeg.hu/pictures/koszeg/kev/kev_20220117_112.pdf</t>
  </si>
  <si>
    <t>Helyi lap felsorolásában és 2022-es tervek között is szerepel.</t>
  </si>
  <si>
    <t>Várkör 2. szakasza</t>
  </si>
  <si>
    <t>Várkör más szakaszaival együtt később tisztázandó.</t>
  </si>
  <si>
    <t>2022</t>
  </si>
  <si>
    <t>Velemi utca és Rohonci utca tömbbelső parkoló</t>
  </si>
  <si>
    <t>parkolófelújítás és bővítés</t>
  </si>
  <si>
    <t>önkormányzati terv / támogatott program</t>
  </si>
  <si>
    <t>tervezett / folyamatban forrás szerint</t>
  </si>
  <si>
    <t>https://koszeg.hu/pictures/koszeg/kev/kev_20220117_112.pdf</t>
  </si>
  <si>
    <t>2022-es helyi újság tervezett fejlesztésként írja.</t>
  </si>
  <si>
    <t>Írottkő utca és Űrhajósok útja közötti parkoló</t>
  </si>
  <si>
    <t>parkolóépítés</t>
  </si>
  <si>
    <t>Parkolóépítésként rögzítve.</t>
  </si>
  <si>
    <t>Rohonci 42–44. előtti parkolók és útburkolat</t>
  </si>
  <si>
    <t>parkoló- és útburkolat felújítás</t>
  </si>
  <si>
    <t>Helyi újság tervezett fejlesztésként rögzíti.</t>
  </si>
  <si>
    <t>Írottkő utcai parkoló és Faludi Ferenc utca–Velemi utca közötti útburkolat</t>
  </si>
  <si>
    <t>parkolófelújítás, bővítés, útburkolat felújítás</t>
  </si>
  <si>
    <t>Pontos címzett utcaszakasz: Faludi Ferenc u. – Velemi u. közötti szakasz.</t>
  </si>
  <si>
    <t>Táncsics Mihály utca</t>
  </si>
  <si>
    <t>utcafejlesztés</t>
  </si>
  <si>
    <t>önkormányzati terv / költségvetési elem</t>
  </si>
  <si>
    <t>tervezett / költségvetésben szerepel</t>
  </si>
  <si>
    <t>https://koszeg.hu/pictures/koszeg/kev/kev_20220117_112.pdf ; https://or.njt.hu/download/3157/resources/EJR_42653157-5_mell_klet_2022_11_25.pdf</t>
  </si>
  <si>
    <t>2022-es tervben és költségvetési mellékletben is említett fejlesztési elem.</t>
  </si>
  <si>
    <t>2024–2025</t>
  </si>
  <si>
    <t>Rohonci utca</t>
  </si>
  <si>
    <t>állami útfelújítás</t>
  </si>
  <si>
    <t>állami útfelújítási program</t>
  </si>
  <si>
    <t>bejelentett / ellenőrizendő pontos tartalom</t>
  </si>
  <si>
    <t>https://www.facebook.com/aghpetervasmegye/posts/k%C5%91szeg-%C3%A1llami-%C3%BAtfel%C3%BAj%C3%ADt%C3%A1s-indul-a-r%C3%A1k%C3%B3czi-%C3%A9s-a-rohonci-utc%C3%A1bank%C3%B6z%C3%B6s-%C3%BCgy%C3%BCnk-k%C5%91sze/1471517971009784/</t>
  </si>
  <si>
    <t>Közösségi/bejelentési forrás. Hivatalos műszaki tartalom még külön ellenőrizendő.</t>
  </si>
  <si>
    <t>Közösségi/bejelentési forrás. A Rákóczi utca a korábbi TOP-projektben is érintett, ezért duplikációként is figyelni kell.</t>
  </si>
  <si>
    <t>2026</t>
  </si>
  <si>
    <t>Ólmodi bekötő út</t>
  </si>
  <si>
    <t>370 m</t>
  </si>
  <si>
    <t>helyi újságban említett felújítás</t>
  </si>
  <si>
    <t>https://koszeg.hu/pictures/koszeg/kev/kev_20260316_166.pdf</t>
  </si>
  <si>
    <t>2026. márciusi helyi újság 370 méteres felújítást említ.</t>
  </si>
  <si>
    <t>Kőszeg út- és utcafelújítási adatbázis – 2015-től</t>
  </si>
  <si>
    <t>Sorok száma</t>
  </si>
  <si>
    <t>Fontos megjegyzés</t>
  </si>
  <si>
    <t>A költség/támogatás oszlopban a TOP-projektnél projektösszeg szerepel, nem utcánkénti bontás. A közepes adatbiztonságú sorok további önkormányzati vagy közbeszerzési ellenőrzést igényelnek.</t>
  </si>
  <si>
    <t>Státusz szerinti darabszám</t>
  </si>
  <si>
    <t>Darab</t>
  </si>
  <si>
    <t>Év kezdete szerinti darabszám</t>
  </si>
  <si>
    <t>Év</t>
  </si>
  <si>
    <t>Forrás megnevezése</t>
  </si>
  <si>
    <t>URL</t>
  </si>
  <si>
    <t>Mit támaszt alá?</t>
  </si>
  <si>
    <t>Kőszeg déli városrészének közlekedésfejlesztése – projektösszefoglaló</t>
  </si>
  <si>
    <t>https://koszeg.hu/hu/onkormanyzat/projektek/content.php?id=10970</t>
  </si>
  <si>
    <t>TOP-projekt azonosító, időtartam, támogatás összege</t>
  </si>
  <si>
    <t>Kőszeg déli városrészének közlekedésfejlesztése – befektetés oldal</t>
  </si>
  <si>
    <t>https://befektetes.koszeg.hu/hu/projektek/koszeg-deli-varosreszenek-kozlekedesfejlesztese-12342.html</t>
  </si>
  <si>
    <t>Érintett utcák: Pogányi út, Gábor Áron, Forintos Mátyás, Rákóczi Ferenc</t>
  </si>
  <si>
    <t>Kőszeg 2021. évi közbeszerzési terve</t>
  </si>
  <si>
    <t>Erdészház, Borsmonostori, Vámház, Herman Ottó méteradatok; Várkör Észak, Zrínyi, Gyöngyös, Malomárok</t>
  </si>
  <si>
    <t>13/2021. polgármesteri határozat</t>
  </si>
  <si>
    <t>https://koszeg.hu/hu/onkormanyzat/testulet/hatarozatok/hatarozat.php?ev=2021&amp;id=3120</t>
  </si>
  <si>
    <t>BMÖGF/1004-1/2020 támogatói okirat és négy utca közbeszerzése</t>
  </si>
  <si>
    <t>2021. november 25-i előterjesztés</t>
  </si>
  <si>
    <t>Projektlista: Írottkő, Festetich, Gesztenyefa, Felső körút, Ólmodi, Munkás, Hegyalja, Mélyút, Dózsa</t>
  </si>
  <si>
    <t>Önkormányzati összegzések</t>
  </si>
  <si>
    <t>https://koszeg.hu/hu/onkormanyzat/hirek/content.php?id=14248</t>
  </si>
  <si>
    <t>Több belterületi felújítás felsorolása</t>
  </si>
  <si>
    <t>Kőszeg és Vidéke 2021. május</t>
  </si>
  <si>
    <t>Elnyert támogatásból tervezett/indított felújítások utcanevei</t>
  </si>
  <si>
    <t>Kőszeg és Vidéke 2022. január</t>
  </si>
  <si>
    <t>2022-ben induló lakótelepi, parkoló- és útfelújítási elemek</t>
  </si>
  <si>
    <t>Kőszeg és Vidéke 2022. október</t>
  </si>
  <si>
    <t>https://koszeg.hu/pictures/koszeg/kev/kev_20221010_121.pdf</t>
  </si>
  <si>
    <t>Felső körút felújításának helyzete</t>
  </si>
  <si>
    <t>Kőszeg és Vidéke 2026. március</t>
  </si>
  <si>
    <t>Ólmodi bekötő út 370 m felújítás</t>
  </si>
  <si>
    <t>Rákóczi és Rohonci állami útfelújítás bejelentés</t>
  </si>
  <si>
    <t>Rákóczi és Rohonci utcák állami felújításának bejelentése</t>
  </si>
  <si>
    <t>Feladat</t>
  </si>
  <si>
    <t>Prioritás</t>
  </si>
  <si>
    <t>Költségek utcánkénti bontása</t>
  </si>
  <si>
    <t>A TOP-projekt és a belterületi programok összegei több utcát fednek le, bontás szükséges.</t>
  </si>
  <si>
    <t>Kivitelezők kigyűjtése</t>
  </si>
  <si>
    <t>Közbeszerzési hirdetményekből, szerződésekből, testületi anyagokból.</t>
  </si>
  <si>
    <t>Státusz pontosítása</t>
  </si>
  <si>
    <t>Tervezett, elindult, befejezett, műszakilag átadott kategóriák elkülönítése.</t>
  </si>
  <si>
    <t>Duplikációk tisztítása</t>
  </si>
  <si>
    <t>Várkör, Rákóczi, Rómer Flóris, Ólmodi út több forrásban és több szakaszként is szerepelhet.</t>
  </si>
  <si>
    <t>2015–2016 külön gyűjtés</t>
  </si>
  <si>
    <t>A jelenlegi nyilvános gyorsgyűjtés kevés 2015–2016-os adatot adott.</t>
  </si>
  <si>
    <t>Koordináták/GIS előkészítés</t>
  </si>
  <si>
    <t>alacsony</t>
  </si>
  <si>
    <t>Későbbi térképes megjelenítéshez.</t>
  </si>
  <si>
    <t>Mező</t>
  </si>
  <si>
    <t>Érték</t>
  </si>
  <si>
    <t>Fájl tartalma</t>
  </si>
  <si>
    <t>Kőszeg út- és utcafelújítások / közlekedési felületfejlesztések 2015-től</t>
  </si>
  <si>
    <t>Készítés dátuma</t>
  </si>
  <si>
    <t>2026-05-25</t>
  </si>
  <si>
    <t>Adatállapot</t>
  </si>
  <si>
    <t>Első rendezett Excel-verzió; nem teljes körű audit</t>
  </si>
  <si>
    <t>Az Excel csak olyan tételeket tartalmaz, amelyekhez a gyűjtés során nyilvános forrás vagy önkormányzati dokumentum talált.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</si>
</sst>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b/>
      <sz val="16"/>
      <color rgb="FF1F4E78"/>
      <name val="Calibri"/>
    </font>
    <font>
      <b/>
      <sz val="11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4" borderId="0" xfId="0" applyFill="1" applyAlignment="1">
      <alignment vertical="top" wrapText="1"/>
    </xf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wrapText="1"/>
    </xf>
    <xf numFmtId="0" fontId="5" fillId="0" borderId="0" xfId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2">
    <cellStyle name="Hivatkozás" xfId="1" builtinId="8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t>Státusz szerinti megoszlás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Összesítő!$B$8</c:f>
              <c:strCache>
                <c:ptCount val="1"/>
                <c:pt idx="0">
                  <c:v>Darab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Összesítő!$A$9:$A$18</c:f>
              <c:strCache>
                <c:ptCount val="10"/>
                <c:pt idx="0">
                  <c:v>megvalósult projektcsomag része</c:v>
                </c:pt>
                <c:pt idx="1">
                  <c:v>közbeszerzési tervben / önkormányzati projekt</c:v>
                </c:pt>
                <c:pt idx="2">
                  <c:v>közbeszerzési tervben</c:v>
                </c:pt>
                <c:pt idx="3">
                  <c:v>projektlistában szerepel</c:v>
                </c:pt>
                <c:pt idx="4">
                  <c:v>projektlistában és helyi újságban szerepel</c:v>
                </c:pt>
                <c:pt idx="5">
                  <c:v>helyi újságban felsorolt felújítás</c:v>
                </c:pt>
                <c:pt idx="6">
                  <c:v>tervezett / folyamatban forrás szerint</c:v>
                </c:pt>
                <c:pt idx="7">
                  <c:v>tervezett / költségvetésben szerepel</c:v>
                </c:pt>
                <c:pt idx="8">
                  <c:v>bejelentett / ellenőrizendő pontos tartalom</c:v>
                </c:pt>
                <c:pt idx="9">
                  <c:v>helyi újságban említett felújítás</c:v>
                </c:pt>
              </c:strCache>
            </c:strRef>
          </c:cat>
          <c:val>
            <c:numRef>
              <c:f>Összesítő!$B$9:$B$18</c:f>
              <c:numCache>
                <c:formatCode>General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9</c:v>
                </c:pt>
                <c:pt idx="4">
                  <c:v>1</c:v>
                </c:pt>
                <c:pt idx="5">
                  <c:v>14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F-4ACF-BB9A-68A2013CC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Státusz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Darab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>
              <a:defRPr/>
            </a:pPr>
            <a:r>
              <a:t>Adatbiztonság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Összesítő!$B$21</c:f>
              <c:strCache>
                <c:ptCount val="1"/>
                <c:pt idx="0">
                  <c:v>Darab</c:v>
                </c:pt>
              </c:strCache>
            </c:strRef>
          </c:tx>
          <c:spPr>
            <a:ln>
              <a:prstDash val="solid"/>
            </a:ln>
          </c:spPr>
          <c:cat>
            <c:strRef>
              <c:f>Összesítő!$A$22:$A$23</c:f>
              <c:strCache>
                <c:ptCount val="2"/>
                <c:pt idx="0">
                  <c:v>magas</c:v>
                </c:pt>
                <c:pt idx="1">
                  <c:v>közepes</c:v>
                </c:pt>
              </c:strCache>
            </c:strRef>
          </c:cat>
          <c:val>
            <c:numRef>
              <c:f>Összesítő!$B$22:$B$23</c:f>
              <c:numCache>
                <c:formatCode>General</c:formatCode>
                <c:ptCount val="2"/>
                <c:pt idx="0">
                  <c:v>12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D-442B-BD78-8CD00206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6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23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koszeg.hu/pictures/koszeg/kev/kev_20220117_112.pdf" TargetMode="External"/><Relationship Id="rId3" Type="http://schemas.openxmlformats.org/officeDocument/2006/relationships/hyperlink" Target="https://koszeg.hu/pictures/downloadmanager/download.php?id=2801" TargetMode="External"/><Relationship Id="rId7" Type="http://schemas.openxmlformats.org/officeDocument/2006/relationships/hyperlink" Target="https://koszeg.hu/pictures/koszeg/kev/kev_20210519_104.pdf" TargetMode="External"/><Relationship Id="rId2" Type="http://schemas.openxmlformats.org/officeDocument/2006/relationships/hyperlink" Target="https://befektetes.koszeg.hu/hu/projektek/koszeg-deli-varosreszenek-kozlekedesfejlesztese-12342.html" TargetMode="External"/><Relationship Id="rId1" Type="http://schemas.openxmlformats.org/officeDocument/2006/relationships/hyperlink" Target="https://koszeg.hu/hu/onkormanyzat/projektek/content.php?id=10970" TargetMode="External"/><Relationship Id="rId6" Type="http://schemas.openxmlformats.org/officeDocument/2006/relationships/hyperlink" Target="https://koszeg.hu/hu/onkormanyzat/hirek/content.php?id=14248" TargetMode="External"/><Relationship Id="rId11" Type="http://schemas.openxmlformats.org/officeDocument/2006/relationships/hyperlink" Target="https://www.facebook.com/aghpetervasmegye/posts/k%C5%91szeg-%C3%A1llami-%C3%BAtfel%C3%BAj%C3%ADt%C3%A1s-indul-a-r%C3%A1k%C3%B3czi-%C3%A9s-a-rohonci-utc%C3%A1bank%C3%B6z%C3%B6s-%C3%BCgy%C3%BCnk-k%C5%91sze/1471517971009784/" TargetMode="External"/><Relationship Id="rId5" Type="http://schemas.openxmlformats.org/officeDocument/2006/relationships/hyperlink" Target="https://koszeg.hu/hu/onkormanyzat/testulet/ulesek/eloterjesztes.php?id=4076" TargetMode="External"/><Relationship Id="rId10" Type="http://schemas.openxmlformats.org/officeDocument/2006/relationships/hyperlink" Target="https://koszeg.hu/pictures/koszeg/kev/kev_20260316_166.pdf" TargetMode="External"/><Relationship Id="rId4" Type="http://schemas.openxmlformats.org/officeDocument/2006/relationships/hyperlink" Target="https://koszeg.hu/hu/onkormanyzat/testulet/hatarozatok/hatarozat.php?ev=2021&amp;id=3120" TargetMode="External"/><Relationship Id="rId9" Type="http://schemas.openxmlformats.org/officeDocument/2006/relationships/hyperlink" Target="https://koszeg.hu/pictures/koszeg/kev/kev_20221010_1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10" customWidth="1"/>
    <col min="4" max="4" width="12" customWidth="1"/>
    <col min="5" max="6" width="42" customWidth="1"/>
    <col min="7" max="7" width="14" customWidth="1"/>
    <col min="8" max="8" width="18" customWidth="1"/>
    <col min="9" max="9" width="38" customWidth="1"/>
    <col min="10" max="10" width="20" customWidth="1"/>
    <col min="11" max="11" width="38" customWidth="1"/>
    <col min="12" max="12" width="16" customWidth="1"/>
    <col min="13" max="13" width="70" customWidth="1"/>
    <col min="14" max="14" width="60" customWidth="1"/>
  </cols>
  <sheetData>
    <row r="1" spans="1:14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2" t="s">
        <v>14</v>
      </c>
      <c r="B2" s="2">
        <v>2017</v>
      </c>
      <c r="C2" s="2">
        <v>2019</v>
      </c>
      <c r="D2" s="2" t="s">
        <v>15</v>
      </c>
      <c r="E2" s="2" t="s">
        <v>16</v>
      </c>
      <c r="F2" s="2" t="s">
        <v>17</v>
      </c>
      <c r="G2" s="2"/>
      <c r="H2" s="3">
        <v>326626793</v>
      </c>
      <c r="I2" s="2" t="s">
        <v>18</v>
      </c>
      <c r="J2" s="2"/>
      <c r="K2" s="2" t="s">
        <v>19</v>
      </c>
      <c r="L2" s="4" t="s">
        <v>20</v>
      </c>
      <c r="M2" s="5" t="s">
        <v>21</v>
      </c>
      <c r="N2" s="2" t="s">
        <v>22</v>
      </c>
    </row>
    <row r="3" spans="1:14" ht="43.5" x14ac:dyDescent="0.35">
      <c r="A3" s="2" t="s">
        <v>14</v>
      </c>
      <c r="B3" s="2">
        <v>2017</v>
      </c>
      <c r="C3" s="2">
        <v>2019</v>
      </c>
      <c r="D3" s="2" t="s">
        <v>15</v>
      </c>
      <c r="E3" s="2" t="s">
        <v>23</v>
      </c>
      <c r="F3" s="2" t="s">
        <v>24</v>
      </c>
      <c r="G3" s="2"/>
      <c r="H3" s="3">
        <v>326626793</v>
      </c>
      <c r="I3" s="2" t="s">
        <v>18</v>
      </c>
      <c r="J3" s="2"/>
      <c r="K3" s="2" t="s">
        <v>19</v>
      </c>
      <c r="L3" s="4" t="s">
        <v>20</v>
      </c>
      <c r="M3" s="5" t="s">
        <v>21</v>
      </c>
      <c r="N3" s="2" t="s">
        <v>25</v>
      </c>
    </row>
    <row r="4" spans="1:14" ht="43.5" x14ac:dyDescent="0.35">
      <c r="A4" s="2" t="s">
        <v>14</v>
      </c>
      <c r="B4" s="2">
        <v>2017</v>
      </c>
      <c r="C4" s="2">
        <v>2019</v>
      </c>
      <c r="D4" s="2" t="s">
        <v>15</v>
      </c>
      <c r="E4" s="2" t="s">
        <v>26</v>
      </c>
      <c r="F4" s="2" t="s">
        <v>24</v>
      </c>
      <c r="G4" s="2"/>
      <c r="H4" s="3">
        <v>326626793</v>
      </c>
      <c r="I4" s="2" t="s">
        <v>18</v>
      </c>
      <c r="J4" s="2"/>
      <c r="K4" s="2" t="s">
        <v>19</v>
      </c>
      <c r="L4" s="4" t="s">
        <v>20</v>
      </c>
      <c r="M4" s="5" t="s">
        <v>21</v>
      </c>
      <c r="N4" s="2" t="s">
        <v>25</v>
      </c>
    </row>
    <row r="5" spans="1:14" ht="43.5" x14ac:dyDescent="0.35">
      <c r="A5" s="2" t="s">
        <v>14</v>
      </c>
      <c r="B5" s="2">
        <v>2017</v>
      </c>
      <c r="C5" s="2">
        <v>2019</v>
      </c>
      <c r="D5" s="2" t="s">
        <v>15</v>
      </c>
      <c r="E5" s="2" t="s">
        <v>27</v>
      </c>
      <c r="F5" s="2" t="s">
        <v>28</v>
      </c>
      <c r="G5" s="2"/>
      <c r="H5" s="3">
        <v>326626793</v>
      </c>
      <c r="I5" s="2" t="s">
        <v>18</v>
      </c>
      <c r="J5" s="2"/>
      <c r="K5" s="2" t="s">
        <v>19</v>
      </c>
      <c r="L5" s="4" t="s">
        <v>20</v>
      </c>
      <c r="M5" s="5" t="s">
        <v>21</v>
      </c>
      <c r="N5" s="2" t="s">
        <v>29</v>
      </c>
    </row>
    <row r="6" spans="1:14" ht="43.5" x14ac:dyDescent="0.35">
      <c r="A6" s="2" t="s">
        <v>30</v>
      </c>
      <c r="B6" s="2">
        <v>2021</v>
      </c>
      <c r="C6" s="2">
        <v>2021</v>
      </c>
      <c r="D6" s="2" t="s">
        <v>15</v>
      </c>
      <c r="E6" s="2" t="s">
        <v>31</v>
      </c>
      <c r="F6" s="2" t="s">
        <v>32</v>
      </c>
      <c r="G6" s="2" t="s">
        <v>33</v>
      </c>
      <c r="H6" s="3"/>
      <c r="I6" s="2" t="s">
        <v>34</v>
      </c>
      <c r="J6" s="2"/>
      <c r="K6" s="2" t="s">
        <v>35</v>
      </c>
      <c r="L6" s="4" t="s">
        <v>20</v>
      </c>
      <c r="M6" s="5" t="s">
        <v>36</v>
      </c>
      <c r="N6" s="2" t="s">
        <v>37</v>
      </c>
    </row>
    <row r="7" spans="1:14" ht="43.5" x14ac:dyDescent="0.35">
      <c r="A7" s="2" t="s">
        <v>30</v>
      </c>
      <c r="B7" s="2">
        <v>2021</v>
      </c>
      <c r="C7" s="2">
        <v>2021</v>
      </c>
      <c r="D7" s="2" t="s">
        <v>15</v>
      </c>
      <c r="E7" s="2" t="s">
        <v>38</v>
      </c>
      <c r="F7" s="2" t="s">
        <v>32</v>
      </c>
      <c r="G7" s="2" t="s">
        <v>39</v>
      </c>
      <c r="H7" s="3"/>
      <c r="I7" s="2" t="s">
        <v>34</v>
      </c>
      <c r="J7" s="2"/>
      <c r="K7" s="2" t="s">
        <v>35</v>
      </c>
      <c r="L7" s="4" t="s">
        <v>20</v>
      </c>
      <c r="M7" s="5" t="s">
        <v>36</v>
      </c>
      <c r="N7" s="2" t="s">
        <v>40</v>
      </c>
    </row>
    <row r="8" spans="1:14" ht="43.5" x14ac:dyDescent="0.35">
      <c r="A8" s="2" t="s">
        <v>30</v>
      </c>
      <c r="B8" s="2">
        <v>2021</v>
      </c>
      <c r="C8" s="2">
        <v>2021</v>
      </c>
      <c r="D8" s="2" t="s">
        <v>15</v>
      </c>
      <c r="E8" s="2" t="s">
        <v>41</v>
      </c>
      <c r="F8" s="2" t="s">
        <v>32</v>
      </c>
      <c r="G8" s="2" t="s">
        <v>42</v>
      </c>
      <c r="H8" s="3"/>
      <c r="I8" s="2" t="s">
        <v>34</v>
      </c>
      <c r="J8" s="2"/>
      <c r="K8" s="2" t="s">
        <v>35</v>
      </c>
      <c r="L8" s="4" t="s">
        <v>20</v>
      </c>
      <c r="M8" s="5" t="s">
        <v>36</v>
      </c>
      <c r="N8" s="2" t="s">
        <v>40</v>
      </c>
    </row>
    <row r="9" spans="1:14" ht="43.5" x14ac:dyDescent="0.35">
      <c r="A9" s="2" t="s">
        <v>30</v>
      </c>
      <c r="B9" s="2">
        <v>2021</v>
      </c>
      <c r="C9" s="2">
        <v>2021</v>
      </c>
      <c r="D9" s="2" t="s">
        <v>15</v>
      </c>
      <c r="E9" s="2" t="s">
        <v>43</v>
      </c>
      <c r="F9" s="2" t="s">
        <v>32</v>
      </c>
      <c r="G9" s="2" t="s">
        <v>44</v>
      </c>
      <c r="H9" s="3"/>
      <c r="I9" s="2" t="s">
        <v>34</v>
      </c>
      <c r="J9" s="2"/>
      <c r="K9" s="2" t="s">
        <v>35</v>
      </c>
      <c r="L9" s="4" t="s">
        <v>20</v>
      </c>
      <c r="M9" s="5" t="s">
        <v>36</v>
      </c>
      <c r="N9" s="2" t="s">
        <v>40</v>
      </c>
    </row>
    <row r="10" spans="1:14" x14ac:dyDescent="0.35">
      <c r="A10" s="2" t="s">
        <v>30</v>
      </c>
      <c r="B10" s="2">
        <v>2021</v>
      </c>
      <c r="C10" s="2">
        <v>2021</v>
      </c>
      <c r="D10" s="2" t="s">
        <v>15</v>
      </c>
      <c r="E10" s="2" t="s">
        <v>45</v>
      </c>
      <c r="F10" s="2" t="s">
        <v>46</v>
      </c>
      <c r="G10" s="2"/>
      <c r="H10" s="3"/>
      <c r="I10" s="2" t="s">
        <v>47</v>
      </c>
      <c r="J10" s="2"/>
      <c r="K10" s="2" t="s">
        <v>48</v>
      </c>
      <c r="L10" s="4" t="s">
        <v>20</v>
      </c>
      <c r="M10" s="5" t="s">
        <v>49</v>
      </c>
      <c r="N10" s="2" t="s">
        <v>50</v>
      </c>
    </row>
    <row r="11" spans="1:14" x14ac:dyDescent="0.35">
      <c r="A11" s="2" t="s">
        <v>30</v>
      </c>
      <c r="B11" s="2">
        <v>2021</v>
      </c>
      <c r="C11" s="2">
        <v>2021</v>
      </c>
      <c r="D11" s="2" t="s">
        <v>15</v>
      </c>
      <c r="E11" s="2" t="s">
        <v>51</v>
      </c>
      <c r="F11" s="2" t="s">
        <v>52</v>
      </c>
      <c r="G11" s="2"/>
      <c r="H11" s="3"/>
      <c r="I11" s="2" t="s">
        <v>47</v>
      </c>
      <c r="J11" s="2"/>
      <c r="K11" s="2" t="s">
        <v>48</v>
      </c>
      <c r="L11" s="4" t="s">
        <v>20</v>
      </c>
      <c r="M11" s="5" t="s">
        <v>49</v>
      </c>
      <c r="N11" s="2" t="s">
        <v>53</v>
      </c>
    </row>
    <row r="12" spans="1:14" ht="29" x14ac:dyDescent="0.35">
      <c r="A12" s="2" t="s">
        <v>30</v>
      </c>
      <c r="B12" s="2">
        <v>2021</v>
      </c>
      <c r="C12" s="2">
        <v>2021</v>
      </c>
      <c r="D12" s="2" t="s">
        <v>15</v>
      </c>
      <c r="E12" s="2" t="s">
        <v>54</v>
      </c>
      <c r="F12" s="2" t="s">
        <v>32</v>
      </c>
      <c r="G12" s="2"/>
      <c r="H12" s="3"/>
      <c r="I12" s="2" t="s">
        <v>47</v>
      </c>
      <c r="J12" s="2"/>
      <c r="K12" s="2" t="s">
        <v>48</v>
      </c>
      <c r="L12" s="4" t="s">
        <v>20</v>
      </c>
      <c r="M12" s="5" t="s">
        <v>55</v>
      </c>
      <c r="N12" s="2" t="s">
        <v>56</v>
      </c>
    </row>
    <row r="13" spans="1:14" ht="29" x14ac:dyDescent="0.35">
      <c r="A13" s="2" t="s">
        <v>30</v>
      </c>
      <c r="B13" s="2">
        <v>2021</v>
      </c>
      <c r="C13" s="2">
        <v>2021</v>
      </c>
      <c r="D13" s="2" t="s">
        <v>15</v>
      </c>
      <c r="E13" s="2" t="s">
        <v>57</v>
      </c>
      <c r="F13" s="2" t="s">
        <v>32</v>
      </c>
      <c r="G13" s="2"/>
      <c r="H13" s="3"/>
      <c r="I13" s="2" t="s">
        <v>47</v>
      </c>
      <c r="J13" s="2"/>
      <c r="K13" s="2" t="s">
        <v>48</v>
      </c>
      <c r="L13" s="4" t="s">
        <v>20</v>
      </c>
      <c r="M13" s="5" t="s">
        <v>55</v>
      </c>
      <c r="N13" s="2" t="s">
        <v>56</v>
      </c>
    </row>
    <row r="14" spans="1:14" ht="29" x14ac:dyDescent="0.35">
      <c r="A14" s="2" t="s">
        <v>58</v>
      </c>
      <c r="B14" s="2">
        <v>2021</v>
      </c>
      <c r="C14" s="2">
        <v>2022</v>
      </c>
      <c r="D14" s="2" t="s">
        <v>15</v>
      </c>
      <c r="E14" s="2" t="s">
        <v>59</v>
      </c>
      <c r="F14" s="2" t="s">
        <v>60</v>
      </c>
      <c r="G14" s="2"/>
      <c r="H14" s="3"/>
      <c r="I14" s="2" t="s">
        <v>61</v>
      </c>
      <c r="J14" s="2"/>
      <c r="K14" s="2" t="s">
        <v>62</v>
      </c>
      <c r="L14" s="6" t="s">
        <v>63</v>
      </c>
      <c r="M14" s="5" t="s">
        <v>64</v>
      </c>
      <c r="N14" s="2" t="s">
        <v>65</v>
      </c>
    </row>
    <row r="15" spans="1:14" ht="29" x14ac:dyDescent="0.35">
      <c r="A15" s="2" t="s">
        <v>58</v>
      </c>
      <c r="B15" s="2">
        <v>2021</v>
      </c>
      <c r="C15" s="2">
        <v>2022</v>
      </c>
      <c r="D15" s="2" t="s">
        <v>15</v>
      </c>
      <c r="E15" s="2" t="s">
        <v>66</v>
      </c>
      <c r="F15" s="2" t="s">
        <v>67</v>
      </c>
      <c r="G15" s="2"/>
      <c r="H15" s="3"/>
      <c r="I15" s="2" t="s">
        <v>61</v>
      </c>
      <c r="J15" s="2"/>
      <c r="K15" s="2" t="s">
        <v>62</v>
      </c>
      <c r="L15" s="6" t="s">
        <v>63</v>
      </c>
      <c r="M15" s="5" t="s">
        <v>68</v>
      </c>
      <c r="N15" s="2" t="s">
        <v>69</v>
      </c>
    </row>
    <row r="16" spans="1:14" ht="29" x14ac:dyDescent="0.35">
      <c r="A16" s="2" t="s">
        <v>58</v>
      </c>
      <c r="B16" s="2">
        <v>2021</v>
      </c>
      <c r="C16" s="2">
        <v>2022</v>
      </c>
      <c r="D16" s="2" t="s">
        <v>15</v>
      </c>
      <c r="E16" s="2" t="s">
        <v>70</v>
      </c>
      <c r="F16" s="2" t="s">
        <v>67</v>
      </c>
      <c r="G16" s="2"/>
      <c r="H16" s="3"/>
      <c r="I16" s="2" t="s">
        <v>61</v>
      </c>
      <c r="J16" s="2"/>
      <c r="K16" s="2" t="s">
        <v>62</v>
      </c>
      <c r="L16" s="6" t="s">
        <v>63</v>
      </c>
      <c r="M16" s="5" t="s">
        <v>68</v>
      </c>
      <c r="N16" s="2" t="s">
        <v>69</v>
      </c>
    </row>
    <row r="17" spans="1:14" ht="43.5" x14ac:dyDescent="0.35">
      <c r="A17" s="2" t="s">
        <v>58</v>
      </c>
      <c r="B17" s="2">
        <v>2021</v>
      </c>
      <c r="C17" s="2">
        <v>2022</v>
      </c>
      <c r="D17" s="2" t="s">
        <v>15</v>
      </c>
      <c r="E17" s="2" t="s">
        <v>71</v>
      </c>
      <c r="F17" s="2" t="s">
        <v>72</v>
      </c>
      <c r="G17" s="2"/>
      <c r="H17" s="3"/>
      <c r="I17" s="2" t="s">
        <v>61</v>
      </c>
      <c r="J17" s="2"/>
      <c r="K17" s="2" t="s">
        <v>73</v>
      </c>
      <c r="L17" s="6" t="s">
        <v>63</v>
      </c>
      <c r="M17" s="5" t="s">
        <v>74</v>
      </c>
      <c r="N17" s="2" t="s">
        <v>75</v>
      </c>
    </row>
    <row r="18" spans="1:14" ht="29" x14ac:dyDescent="0.35">
      <c r="A18" s="2" t="s">
        <v>58</v>
      </c>
      <c r="B18" s="2">
        <v>2021</v>
      </c>
      <c r="C18" s="2">
        <v>2022</v>
      </c>
      <c r="D18" s="2" t="s">
        <v>15</v>
      </c>
      <c r="E18" s="2" t="s">
        <v>76</v>
      </c>
      <c r="F18" s="2" t="s">
        <v>67</v>
      </c>
      <c r="G18" s="2"/>
      <c r="H18" s="3"/>
      <c r="I18" s="2" t="s">
        <v>61</v>
      </c>
      <c r="J18" s="2"/>
      <c r="K18" s="2" t="s">
        <v>62</v>
      </c>
      <c r="L18" s="6" t="s">
        <v>63</v>
      </c>
      <c r="M18" s="5" t="s">
        <v>68</v>
      </c>
      <c r="N18" s="2" t="s">
        <v>77</v>
      </c>
    </row>
    <row r="19" spans="1:14" ht="29" x14ac:dyDescent="0.35">
      <c r="A19" s="2" t="s">
        <v>58</v>
      </c>
      <c r="B19" s="2">
        <v>2021</v>
      </c>
      <c r="C19" s="2">
        <v>2022</v>
      </c>
      <c r="D19" s="2" t="s">
        <v>15</v>
      </c>
      <c r="E19" s="2" t="s">
        <v>78</v>
      </c>
      <c r="F19" s="2" t="s">
        <v>67</v>
      </c>
      <c r="G19" s="2"/>
      <c r="H19" s="3"/>
      <c r="I19" s="2" t="s">
        <v>61</v>
      </c>
      <c r="J19" s="2"/>
      <c r="K19" s="2" t="s">
        <v>62</v>
      </c>
      <c r="L19" s="6" t="s">
        <v>63</v>
      </c>
      <c r="M19" s="5" t="s">
        <v>68</v>
      </c>
      <c r="N19" s="2" t="s">
        <v>69</v>
      </c>
    </row>
    <row r="20" spans="1:14" ht="43.5" x14ac:dyDescent="0.35">
      <c r="A20" s="2" t="s">
        <v>58</v>
      </c>
      <c r="B20" s="2">
        <v>2021</v>
      </c>
      <c r="C20" s="2">
        <v>2022</v>
      </c>
      <c r="D20" s="2" t="s">
        <v>15</v>
      </c>
      <c r="E20" s="2" t="s">
        <v>79</v>
      </c>
      <c r="F20" s="2" t="s">
        <v>67</v>
      </c>
      <c r="G20" s="2"/>
      <c r="H20" s="3"/>
      <c r="I20" s="2" t="s">
        <v>61</v>
      </c>
      <c r="J20" s="2"/>
      <c r="K20" s="2" t="s">
        <v>62</v>
      </c>
      <c r="L20" s="6" t="s">
        <v>63</v>
      </c>
      <c r="M20" s="5" t="s">
        <v>80</v>
      </c>
      <c r="N20" s="2" t="s">
        <v>81</v>
      </c>
    </row>
    <row r="21" spans="1:14" ht="29" x14ac:dyDescent="0.35">
      <c r="A21" s="2" t="s">
        <v>58</v>
      </c>
      <c r="B21" s="2">
        <v>2021</v>
      </c>
      <c r="C21" s="2">
        <v>2022</v>
      </c>
      <c r="D21" s="2" t="s">
        <v>15</v>
      </c>
      <c r="E21" s="2" t="s">
        <v>82</v>
      </c>
      <c r="F21" s="2" t="s">
        <v>83</v>
      </c>
      <c r="G21" s="2"/>
      <c r="H21" s="3"/>
      <c r="I21" s="2" t="s">
        <v>61</v>
      </c>
      <c r="J21" s="2"/>
      <c r="K21" s="2" t="s">
        <v>62</v>
      </c>
      <c r="L21" s="6" t="s">
        <v>63</v>
      </c>
      <c r="M21" s="5" t="s">
        <v>68</v>
      </c>
      <c r="N21" s="2" t="s">
        <v>84</v>
      </c>
    </row>
    <row r="22" spans="1:14" ht="29" x14ac:dyDescent="0.35">
      <c r="A22" s="2" t="s">
        <v>58</v>
      </c>
      <c r="B22" s="2">
        <v>2021</v>
      </c>
      <c r="C22" s="2">
        <v>2022</v>
      </c>
      <c r="D22" s="2" t="s">
        <v>15</v>
      </c>
      <c r="E22" s="2" t="s">
        <v>85</v>
      </c>
      <c r="F22" s="2" t="s">
        <v>86</v>
      </c>
      <c r="G22" s="2"/>
      <c r="H22" s="3"/>
      <c r="I22" s="2" t="s">
        <v>61</v>
      </c>
      <c r="J22" s="2"/>
      <c r="K22" s="2" t="s">
        <v>62</v>
      </c>
      <c r="L22" s="6" t="s">
        <v>63</v>
      </c>
      <c r="M22" s="5" t="s">
        <v>87</v>
      </c>
      <c r="N22" s="2" t="s">
        <v>88</v>
      </c>
    </row>
    <row r="23" spans="1:14" ht="29" x14ac:dyDescent="0.35">
      <c r="A23" s="2" t="s">
        <v>58</v>
      </c>
      <c r="B23" s="2">
        <v>2021</v>
      </c>
      <c r="C23" s="2">
        <v>2022</v>
      </c>
      <c r="D23" s="2" t="s">
        <v>15</v>
      </c>
      <c r="E23" s="2" t="s">
        <v>89</v>
      </c>
      <c r="F23" s="2" t="s">
        <v>67</v>
      </c>
      <c r="G23" s="2"/>
      <c r="H23" s="3"/>
      <c r="I23" s="2" t="s">
        <v>61</v>
      </c>
      <c r="J23" s="2"/>
      <c r="K23" s="2" t="s">
        <v>62</v>
      </c>
      <c r="L23" s="6" t="s">
        <v>63</v>
      </c>
      <c r="M23" s="5" t="s">
        <v>68</v>
      </c>
      <c r="N23" s="2" t="s">
        <v>69</v>
      </c>
    </row>
    <row r="24" spans="1:14" ht="29" x14ac:dyDescent="0.35">
      <c r="A24" s="2" t="s">
        <v>30</v>
      </c>
      <c r="B24" s="2">
        <v>2021</v>
      </c>
      <c r="C24" s="2">
        <v>2021</v>
      </c>
      <c r="D24" s="2" t="s">
        <v>15</v>
      </c>
      <c r="E24" s="2" t="s">
        <v>90</v>
      </c>
      <c r="F24" s="2" t="s">
        <v>91</v>
      </c>
      <c r="G24" s="2"/>
      <c r="H24" s="3"/>
      <c r="I24" s="2" t="s">
        <v>92</v>
      </c>
      <c r="J24" s="2"/>
      <c r="K24" s="2" t="s">
        <v>93</v>
      </c>
      <c r="L24" s="6" t="s">
        <v>63</v>
      </c>
      <c r="M24" s="5" t="s">
        <v>94</v>
      </c>
      <c r="N24" s="2" t="s">
        <v>95</v>
      </c>
    </row>
    <row r="25" spans="1:14" ht="29" x14ac:dyDescent="0.35">
      <c r="A25" s="2" t="s">
        <v>30</v>
      </c>
      <c r="B25" s="2">
        <v>2021</v>
      </c>
      <c r="C25" s="2">
        <v>2021</v>
      </c>
      <c r="D25" s="2" t="s">
        <v>15</v>
      </c>
      <c r="E25" s="2" t="s">
        <v>96</v>
      </c>
      <c r="F25" s="2" t="s">
        <v>91</v>
      </c>
      <c r="G25" s="2"/>
      <c r="H25" s="3"/>
      <c r="I25" s="2" t="s">
        <v>92</v>
      </c>
      <c r="J25" s="2"/>
      <c r="K25" s="2" t="s">
        <v>93</v>
      </c>
      <c r="L25" s="6" t="s">
        <v>63</v>
      </c>
      <c r="M25" s="5" t="s">
        <v>97</v>
      </c>
      <c r="N25" s="2" t="s">
        <v>98</v>
      </c>
    </row>
    <row r="26" spans="1:14" ht="29" x14ac:dyDescent="0.35">
      <c r="A26" s="2" t="s">
        <v>30</v>
      </c>
      <c r="B26" s="2">
        <v>2021</v>
      </c>
      <c r="C26" s="2">
        <v>2021</v>
      </c>
      <c r="D26" s="2" t="s">
        <v>15</v>
      </c>
      <c r="E26" s="2" t="s">
        <v>99</v>
      </c>
      <c r="F26" s="2" t="s">
        <v>67</v>
      </c>
      <c r="G26" s="2"/>
      <c r="H26" s="3"/>
      <c r="I26" s="2" t="s">
        <v>92</v>
      </c>
      <c r="J26" s="2"/>
      <c r="K26" s="2" t="s">
        <v>93</v>
      </c>
      <c r="L26" s="6" t="s">
        <v>63</v>
      </c>
      <c r="M26" s="5" t="s">
        <v>94</v>
      </c>
      <c r="N26" s="2" t="s">
        <v>95</v>
      </c>
    </row>
    <row r="27" spans="1:14" ht="29" x14ac:dyDescent="0.35">
      <c r="A27" s="2" t="s">
        <v>30</v>
      </c>
      <c r="B27" s="2">
        <v>2021</v>
      </c>
      <c r="C27" s="2">
        <v>2021</v>
      </c>
      <c r="D27" s="2" t="s">
        <v>15</v>
      </c>
      <c r="E27" s="2" t="s">
        <v>100</v>
      </c>
      <c r="F27" s="2" t="s">
        <v>67</v>
      </c>
      <c r="G27" s="2"/>
      <c r="H27" s="3"/>
      <c r="I27" s="2" t="s">
        <v>92</v>
      </c>
      <c r="J27" s="2"/>
      <c r="K27" s="2" t="s">
        <v>93</v>
      </c>
      <c r="L27" s="6" t="s">
        <v>63</v>
      </c>
      <c r="M27" s="5" t="s">
        <v>94</v>
      </c>
      <c r="N27" s="2" t="s">
        <v>95</v>
      </c>
    </row>
    <row r="28" spans="1:14" ht="29" x14ac:dyDescent="0.35">
      <c r="A28" s="2" t="s">
        <v>30</v>
      </c>
      <c r="B28" s="2">
        <v>2021</v>
      </c>
      <c r="C28" s="2">
        <v>2021</v>
      </c>
      <c r="D28" s="2" t="s">
        <v>15</v>
      </c>
      <c r="E28" s="2" t="s">
        <v>101</v>
      </c>
      <c r="F28" s="2" t="s">
        <v>67</v>
      </c>
      <c r="G28" s="2"/>
      <c r="H28" s="3"/>
      <c r="I28" s="2" t="s">
        <v>92</v>
      </c>
      <c r="J28" s="2"/>
      <c r="K28" s="2" t="s">
        <v>93</v>
      </c>
      <c r="L28" s="6" t="s">
        <v>63</v>
      </c>
      <c r="M28" s="5" t="s">
        <v>94</v>
      </c>
      <c r="N28" s="2" t="s">
        <v>95</v>
      </c>
    </row>
    <row r="29" spans="1:14" ht="29" x14ac:dyDescent="0.35">
      <c r="A29" s="2" t="s">
        <v>30</v>
      </c>
      <c r="B29" s="2">
        <v>2021</v>
      </c>
      <c r="C29" s="2">
        <v>2021</v>
      </c>
      <c r="D29" s="2" t="s">
        <v>15</v>
      </c>
      <c r="E29" s="2" t="s">
        <v>102</v>
      </c>
      <c r="F29" s="2" t="s">
        <v>103</v>
      </c>
      <c r="G29" s="2"/>
      <c r="H29" s="3"/>
      <c r="I29" s="2" t="s">
        <v>92</v>
      </c>
      <c r="J29" s="2"/>
      <c r="K29" s="2" t="s">
        <v>93</v>
      </c>
      <c r="L29" s="6" t="s">
        <v>63</v>
      </c>
      <c r="M29" s="5" t="s">
        <v>94</v>
      </c>
      <c r="N29" s="2" t="s">
        <v>104</v>
      </c>
    </row>
    <row r="30" spans="1:14" ht="29" x14ac:dyDescent="0.35">
      <c r="A30" s="2" t="s">
        <v>30</v>
      </c>
      <c r="B30" s="2">
        <v>2021</v>
      </c>
      <c r="C30" s="2">
        <v>2021</v>
      </c>
      <c r="D30" s="2" t="s">
        <v>15</v>
      </c>
      <c r="E30" s="2" t="s">
        <v>105</v>
      </c>
      <c r="F30" s="2" t="s">
        <v>106</v>
      </c>
      <c r="G30" s="2"/>
      <c r="H30" s="3"/>
      <c r="I30" s="2" t="s">
        <v>92</v>
      </c>
      <c r="J30" s="2"/>
      <c r="K30" s="2" t="s">
        <v>93</v>
      </c>
      <c r="L30" s="6" t="s">
        <v>63</v>
      </c>
      <c r="M30" s="5" t="s">
        <v>94</v>
      </c>
      <c r="N30" s="2" t="s">
        <v>107</v>
      </c>
    </row>
    <row r="31" spans="1:14" ht="29" x14ac:dyDescent="0.35">
      <c r="A31" s="2" t="s">
        <v>30</v>
      </c>
      <c r="B31" s="2">
        <v>2021</v>
      </c>
      <c r="C31" s="2">
        <v>2021</v>
      </c>
      <c r="D31" s="2" t="s">
        <v>15</v>
      </c>
      <c r="E31" s="2" t="s">
        <v>108</v>
      </c>
      <c r="F31" s="2" t="s">
        <v>67</v>
      </c>
      <c r="G31" s="2"/>
      <c r="H31" s="3"/>
      <c r="I31" s="2" t="s">
        <v>92</v>
      </c>
      <c r="J31" s="2"/>
      <c r="K31" s="2" t="s">
        <v>93</v>
      </c>
      <c r="L31" s="6" t="s">
        <v>63</v>
      </c>
      <c r="M31" s="5" t="s">
        <v>94</v>
      </c>
      <c r="N31" s="2" t="s">
        <v>95</v>
      </c>
    </row>
    <row r="32" spans="1:14" ht="29" x14ac:dyDescent="0.35">
      <c r="A32" s="2" t="s">
        <v>30</v>
      </c>
      <c r="B32" s="2">
        <v>2021</v>
      </c>
      <c r="C32" s="2">
        <v>2021</v>
      </c>
      <c r="D32" s="2" t="s">
        <v>15</v>
      </c>
      <c r="E32" s="2" t="s">
        <v>109</v>
      </c>
      <c r="F32" s="2" t="s">
        <v>110</v>
      </c>
      <c r="G32" s="2"/>
      <c r="H32" s="3"/>
      <c r="I32" s="2" t="s">
        <v>92</v>
      </c>
      <c r="J32" s="2"/>
      <c r="K32" s="2" t="s">
        <v>93</v>
      </c>
      <c r="L32" s="6" t="s">
        <v>63</v>
      </c>
      <c r="M32" s="5" t="s">
        <v>94</v>
      </c>
      <c r="N32" s="2" t="s">
        <v>111</v>
      </c>
    </row>
    <row r="33" spans="1:14" ht="29" x14ac:dyDescent="0.35">
      <c r="A33" s="2" t="s">
        <v>30</v>
      </c>
      <c r="B33" s="2">
        <v>2021</v>
      </c>
      <c r="C33" s="2">
        <v>2021</v>
      </c>
      <c r="D33" s="2" t="s">
        <v>15</v>
      </c>
      <c r="E33" s="2" t="s">
        <v>112</v>
      </c>
      <c r="F33" s="2" t="s">
        <v>67</v>
      </c>
      <c r="G33" s="2"/>
      <c r="H33" s="3"/>
      <c r="I33" s="2" t="s">
        <v>92</v>
      </c>
      <c r="J33" s="2"/>
      <c r="K33" s="2" t="s">
        <v>93</v>
      </c>
      <c r="L33" s="6" t="s">
        <v>63</v>
      </c>
      <c r="M33" s="5" t="s">
        <v>94</v>
      </c>
      <c r="N33" s="2" t="s">
        <v>113</v>
      </c>
    </row>
    <row r="34" spans="1:14" ht="29" x14ac:dyDescent="0.35">
      <c r="A34" s="2" t="s">
        <v>30</v>
      </c>
      <c r="B34" s="2">
        <v>2021</v>
      </c>
      <c r="C34" s="2">
        <v>2021</v>
      </c>
      <c r="D34" s="2" t="s">
        <v>15</v>
      </c>
      <c r="E34" s="2" t="s">
        <v>114</v>
      </c>
      <c r="F34" s="2" t="s">
        <v>110</v>
      </c>
      <c r="G34" s="2"/>
      <c r="H34" s="3"/>
      <c r="I34" s="2" t="s">
        <v>92</v>
      </c>
      <c r="J34" s="2"/>
      <c r="K34" s="2" t="s">
        <v>93</v>
      </c>
      <c r="L34" s="6" t="s">
        <v>63</v>
      </c>
      <c r="M34" s="5" t="s">
        <v>94</v>
      </c>
      <c r="N34" s="2" t="s">
        <v>95</v>
      </c>
    </row>
    <row r="35" spans="1:14" ht="29" x14ac:dyDescent="0.35">
      <c r="A35" s="2" t="s">
        <v>30</v>
      </c>
      <c r="B35" s="2">
        <v>2021</v>
      </c>
      <c r="C35" s="2">
        <v>2021</v>
      </c>
      <c r="D35" s="2" t="s">
        <v>15</v>
      </c>
      <c r="E35" s="2" t="s">
        <v>115</v>
      </c>
      <c r="F35" s="2" t="s">
        <v>116</v>
      </c>
      <c r="G35" s="2"/>
      <c r="H35" s="3"/>
      <c r="I35" s="2" t="s">
        <v>92</v>
      </c>
      <c r="J35" s="2"/>
      <c r="K35" s="2" t="s">
        <v>93</v>
      </c>
      <c r="L35" s="6" t="s">
        <v>63</v>
      </c>
      <c r="M35" s="5" t="s">
        <v>94</v>
      </c>
      <c r="N35" s="2" t="s">
        <v>95</v>
      </c>
    </row>
    <row r="36" spans="1:14" ht="29" x14ac:dyDescent="0.35">
      <c r="A36" s="2" t="s">
        <v>30</v>
      </c>
      <c r="B36" s="2">
        <v>2021</v>
      </c>
      <c r="C36" s="2">
        <v>2021</v>
      </c>
      <c r="D36" s="2" t="s">
        <v>15</v>
      </c>
      <c r="E36" s="2" t="s">
        <v>117</v>
      </c>
      <c r="F36" s="2" t="s">
        <v>67</v>
      </c>
      <c r="G36" s="2"/>
      <c r="H36" s="3"/>
      <c r="I36" s="2" t="s">
        <v>92</v>
      </c>
      <c r="J36" s="2"/>
      <c r="K36" s="2" t="s">
        <v>93</v>
      </c>
      <c r="L36" s="6" t="s">
        <v>63</v>
      </c>
      <c r="M36" s="5" t="s">
        <v>118</v>
      </c>
      <c r="N36" s="2" t="s">
        <v>119</v>
      </c>
    </row>
    <row r="37" spans="1:14" ht="29" x14ac:dyDescent="0.35">
      <c r="A37" s="2" t="s">
        <v>30</v>
      </c>
      <c r="B37" s="2">
        <v>2021</v>
      </c>
      <c r="C37" s="2">
        <v>2021</v>
      </c>
      <c r="D37" s="2" t="s">
        <v>15</v>
      </c>
      <c r="E37" s="2" t="s">
        <v>120</v>
      </c>
      <c r="F37" s="2" t="s">
        <v>67</v>
      </c>
      <c r="G37" s="2"/>
      <c r="H37" s="3"/>
      <c r="I37" s="2" t="s">
        <v>92</v>
      </c>
      <c r="J37" s="2"/>
      <c r="K37" s="2" t="s">
        <v>93</v>
      </c>
      <c r="L37" s="6" t="s">
        <v>63</v>
      </c>
      <c r="M37" s="5" t="s">
        <v>94</v>
      </c>
      <c r="N37" s="2" t="s">
        <v>121</v>
      </c>
    </row>
    <row r="38" spans="1:14" x14ac:dyDescent="0.35">
      <c r="A38" s="2" t="s">
        <v>122</v>
      </c>
      <c r="B38" s="2">
        <v>2022</v>
      </c>
      <c r="C38" s="2">
        <v>2022</v>
      </c>
      <c r="D38" s="2" t="s">
        <v>15</v>
      </c>
      <c r="E38" s="2" t="s">
        <v>123</v>
      </c>
      <c r="F38" s="2" t="s">
        <v>124</v>
      </c>
      <c r="G38" s="2"/>
      <c r="H38" s="3"/>
      <c r="I38" s="2" t="s">
        <v>125</v>
      </c>
      <c r="J38" s="2"/>
      <c r="K38" s="2" t="s">
        <v>126</v>
      </c>
      <c r="L38" s="6" t="s">
        <v>63</v>
      </c>
      <c r="M38" s="5" t="s">
        <v>127</v>
      </c>
      <c r="N38" s="2" t="s">
        <v>128</v>
      </c>
    </row>
    <row r="39" spans="1:14" x14ac:dyDescent="0.35">
      <c r="A39" s="2" t="s">
        <v>122</v>
      </c>
      <c r="B39" s="2">
        <v>2022</v>
      </c>
      <c r="C39" s="2">
        <v>2022</v>
      </c>
      <c r="D39" s="2" t="s">
        <v>15</v>
      </c>
      <c r="E39" s="2" t="s">
        <v>129</v>
      </c>
      <c r="F39" s="2" t="s">
        <v>130</v>
      </c>
      <c r="G39" s="2"/>
      <c r="H39" s="3"/>
      <c r="I39" s="2" t="s">
        <v>125</v>
      </c>
      <c r="J39" s="2"/>
      <c r="K39" s="2" t="s">
        <v>126</v>
      </c>
      <c r="L39" s="6" t="s">
        <v>63</v>
      </c>
      <c r="M39" s="5" t="s">
        <v>127</v>
      </c>
      <c r="N39" s="2" t="s">
        <v>131</v>
      </c>
    </row>
    <row r="40" spans="1:14" x14ac:dyDescent="0.35">
      <c r="A40" s="2" t="s">
        <v>122</v>
      </c>
      <c r="B40" s="2">
        <v>2022</v>
      </c>
      <c r="C40" s="2">
        <v>2022</v>
      </c>
      <c r="D40" s="2" t="s">
        <v>15</v>
      </c>
      <c r="E40" s="2" t="s">
        <v>132</v>
      </c>
      <c r="F40" s="2" t="s">
        <v>133</v>
      </c>
      <c r="G40" s="2"/>
      <c r="H40" s="3"/>
      <c r="I40" s="2" t="s">
        <v>125</v>
      </c>
      <c r="J40" s="2"/>
      <c r="K40" s="2" t="s">
        <v>126</v>
      </c>
      <c r="L40" s="6" t="s">
        <v>63</v>
      </c>
      <c r="M40" s="5" t="s">
        <v>127</v>
      </c>
      <c r="N40" s="2" t="s">
        <v>134</v>
      </c>
    </row>
    <row r="41" spans="1:14" ht="29" x14ac:dyDescent="0.35">
      <c r="A41" s="2" t="s">
        <v>122</v>
      </c>
      <c r="B41" s="2">
        <v>2022</v>
      </c>
      <c r="C41" s="2">
        <v>2022</v>
      </c>
      <c r="D41" s="2" t="s">
        <v>15</v>
      </c>
      <c r="E41" s="2" t="s">
        <v>135</v>
      </c>
      <c r="F41" s="2" t="s">
        <v>136</v>
      </c>
      <c r="G41" s="2"/>
      <c r="H41" s="3"/>
      <c r="I41" s="2" t="s">
        <v>125</v>
      </c>
      <c r="J41" s="2"/>
      <c r="K41" s="2" t="s">
        <v>126</v>
      </c>
      <c r="L41" s="6" t="s">
        <v>63</v>
      </c>
      <c r="M41" s="5" t="s">
        <v>127</v>
      </c>
      <c r="N41" s="2" t="s">
        <v>137</v>
      </c>
    </row>
    <row r="42" spans="1:14" ht="43.5" x14ac:dyDescent="0.35">
      <c r="A42" s="2" t="s">
        <v>122</v>
      </c>
      <c r="B42" s="2">
        <v>2022</v>
      </c>
      <c r="C42" s="2">
        <v>2022</v>
      </c>
      <c r="D42" s="2" t="s">
        <v>15</v>
      </c>
      <c r="E42" s="2" t="s">
        <v>138</v>
      </c>
      <c r="F42" s="2" t="s">
        <v>139</v>
      </c>
      <c r="G42" s="2"/>
      <c r="H42" s="3"/>
      <c r="I42" s="2" t="s">
        <v>140</v>
      </c>
      <c r="J42" s="2"/>
      <c r="K42" s="2" t="s">
        <v>141</v>
      </c>
      <c r="L42" s="6" t="s">
        <v>63</v>
      </c>
      <c r="M42" s="5" t="s">
        <v>142</v>
      </c>
      <c r="N42" s="2" t="s">
        <v>143</v>
      </c>
    </row>
    <row r="43" spans="1:14" ht="58" x14ac:dyDescent="0.35">
      <c r="A43" s="2" t="s">
        <v>144</v>
      </c>
      <c r="B43" s="2">
        <v>2024</v>
      </c>
      <c r="C43" s="2">
        <v>2025</v>
      </c>
      <c r="D43" s="2" t="s">
        <v>15</v>
      </c>
      <c r="E43" s="2" t="s">
        <v>145</v>
      </c>
      <c r="F43" s="2" t="s">
        <v>146</v>
      </c>
      <c r="G43" s="2"/>
      <c r="H43" s="3"/>
      <c r="I43" s="2" t="s">
        <v>147</v>
      </c>
      <c r="J43" s="2"/>
      <c r="K43" s="2" t="s">
        <v>148</v>
      </c>
      <c r="L43" s="6" t="s">
        <v>63</v>
      </c>
      <c r="M43" s="5" t="s">
        <v>149</v>
      </c>
      <c r="N43" s="2" t="s">
        <v>150</v>
      </c>
    </row>
    <row r="44" spans="1:14" ht="58" x14ac:dyDescent="0.35">
      <c r="A44" s="2" t="s">
        <v>144</v>
      </c>
      <c r="B44" s="2">
        <v>2024</v>
      </c>
      <c r="C44" s="2">
        <v>2025</v>
      </c>
      <c r="D44" s="2" t="s">
        <v>15</v>
      </c>
      <c r="E44" s="2" t="s">
        <v>27</v>
      </c>
      <c r="F44" s="2" t="s">
        <v>146</v>
      </c>
      <c r="G44" s="2"/>
      <c r="H44" s="3"/>
      <c r="I44" s="2" t="s">
        <v>147</v>
      </c>
      <c r="J44" s="2"/>
      <c r="K44" s="2" t="s">
        <v>148</v>
      </c>
      <c r="L44" s="6" t="s">
        <v>63</v>
      </c>
      <c r="M44" s="5" t="s">
        <v>149</v>
      </c>
      <c r="N44" s="2" t="s">
        <v>151</v>
      </c>
    </row>
    <row r="45" spans="1:14" x14ac:dyDescent="0.35">
      <c r="A45" s="2" t="s">
        <v>152</v>
      </c>
      <c r="B45" s="2">
        <v>2026</v>
      </c>
      <c r="C45" s="2">
        <v>2026</v>
      </c>
      <c r="D45" s="2" t="s">
        <v>15</v>
      </c>
      <c r="E45" s="2" t="s">
        <v>153</v>
      </c>
      <c r="F45" s="2" t="s">
        <v>67</v>
      </c>
      <c r="G45" s="2" t="s">
        <v>154</v>
      </c>
      <c r="H45" s="3"/>
      <c r="I45" s="2"/>
      <c r="J45" s="2"/>
      <c r="K45" s="2" t="s">
        <v>155</v>
      </c>
      <c r="L45" s="6" t="s">
        <v>63</v>
      </c>
      <c r="M45" s="5" t="s">
        <v>156</v>
      </c>
      <c r="N45" s="2" t="s">
        <v>157</v>
      </c>
    </row>
  </sheetData>
  <autoFilter ref="A1:N4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/>
  </sheetViews>
  <sheetFormatPr defaultRowHeight="14.5" x14ac:dyDescent="0.35"/>
  <cols>
    <col min="1" max="8" width="24" customWidth="1"/>
  </cols>
  <sheetData>
    <row r="1" spans="1:8" ht="21" x14ac:dyDescent="0.5">
      <c r="A1" s="7" t="s">
        <v>158</v>
      </c>
    </row>
    <row r="2" spans="1:8" x14ac:dyDescent="0.35">
      <c r="G2" s="8" t="s">
        <v>159</v>
      </c>
      <c r="H2">
        <f>COUNTA(Kőszeg_projektek!A2:A45)</f>
        <v>44</v>
      </c>
    </row>
    <row r="3" spans="1:8" x14ac:dyDescent="0.35">
      <c r="A3" s="8" t="s">
        <v>160</v>
      </c>
    </row>
    <row r="4" spans="1:8" x14ac:dyDescent="0.35">
      <c r="A4" s="13" t="s">
        <v>161</v>
      </c>
      <c r="B4" s="14"/>
      <c r="C4" s="14"/>
      <c r="D4" s="14"/>
      <c r="E4" s="14"/>
      <c r="F4" s="14"/>
      <c r="G4" s="14"/>
      <c r="H4" s="14"/>
    </row>
    <row r="5" spans="1:8" x14ac:dyDescent="0.35">
      <c r="A5" s="14"/>
      <c r="B5" s="14"/>
      <c r="C5" s="14"/>
      <c r="D5" s="14"/>
      <c r="E5" s="14"/>
      <c r="F5" s="14"/>
      <c r="G5" s="14"/>
      <c r="H5" s="14"/>
    </row>
    <row r="7" spans="1:8" x14ac:dyDescent="0.35">
      <c r="A7" s="8" t="s">
        <v>162</v>
      </c>
    </row>
    <row r="8" spans="1:8" x14ac:dyDescent="0.35">
      <c r="A8" s="8" t="s">
        <v>10</v>
      </c>
      <c r="B8" s="8" t="s">
        <v>163</v>
      </c>
    </row>
    <row r="9" spans="1:8" x14ac:dyDescent="0.35">
      <c r="A9" t="s">
        <v>19</v>
      </c>
      <c r="B9">
        <v>4</v>
      </c>
    </row>
    <row r="10" spans="1:8" x14ac:dyDescent="0.35">
      <c r="A10" t="s">
        <v>35</v>
      </c>
      <c r="B10">
        <v>4</v>
      </c>
    </row>
    <row r="11" spans="1:8" x14ac:dyDescent="0.35">
      <c r="A11" t="s">
        <v>48</v>
      </c>
      <c r="B11">
        <v>4</v>
      </c>
    </row>
    <row r="12" spans="1:8" x14ac:dyDescent="0.35">
      <c r="A12" t="s">
        <v>62</v>
      </c>
      <c r="B12">
        <v>9</v>
      </c>
    </row>
    <row r="13" spans="1:8" x14ac:dyDescent="0.35">
      <c r="A13" t="s">
        <v>73</v>
      </c>
      <c r="B13">
        <v>1</v>
      </c>
    </row>
    <row r="14" spans="1:8" x14ac:dyDescent="0.35">
      <c r="A14" t="s">
        <v>93</v>
      </c>
      <c r="B14">
        <v>14</v>
      </c>
    </row>
    <row r="15" spans="1:8" x14ac:dyDescent="0.35">
      <c r="A15" t="s">
        <v>126</v>
      </c>
      <c r="B15">
        <v>4</v>
      </c>
    </row>
    <row r="16" spans="1:8" x14ac:dyDescent="0.35">
      <c r="A16" t="s">
        <v>141</v>
      </c>
      <c r="B16">
        <v>1</v>
      </c>
    </row>
    <row r="17" spans="1:2" x14ac:dyDescent="0.35">
      <c r="A17" t="s">
        <v>148</v>
      </c>
      <c r="B17">
        <v>2</v>
      </c>
    </row>
    <row r="18" spans="1:2" x14ac:dyDescent="0.35">
      <c r="A18" t="s">
        <v>155</v>
      </c>
      <c r="B18">
        <v>1</v>
      </c>
    </row>
    <row r="21" spans="1:2" x14ac:dyDescent="0.35">
      <c r="A21" s="8" t="s">
        <v>11</v>
      </c>
      <c r="B21" s="8" t="s">
        <v>163</v>
      </c>
    </row>
    <row r="22" spans="1:2" x14ac:dyDescent="0.35">
      <c r="A22" t="s">
        <v>20</v>
      </c>
      <c r="B22">
        <v>12</v>
      </c>
    </row>
    <row r="23" spans="1:2" x14ac:dyDescent="0.35">
      <c r="A23" t="s">
        <v>63</v>
      </c>
      <c r="B23">
        <v>32</v>
      </c>
    </row>
    <row r="26" spans="1:2" x14ac:dyDescent="0.35">
      <c r="A26" s="8" t="s">
        <v>164</v>
      </c>
    </row>
    <row r="27" spans="1:2" x14ac:dyDescent="0.35">
      <c r="A27" s="8" t="s">
        <v>165</v>
      </c>
      <c r="B27" s="8" t="s">
        <v>163</v>
      </c>
    </row>
    <row r="28" spans="1:2" x14ac:dyDescent="0.35">
      <c r="A28">
        <v>2017</v>
      </c>
      <c r="B28">
        <v>4</v>
      </c>
    </row>
    <row r="29" spans="1:2" x14ac:dyDescent="0.35">
      <c r="A29">
        <v>2021</v>
      </c>
      <c r="B29">
        <v>32</v>
      </c>
    </row>
    <row r="30" spans="1:2" x14ac:dyDescent="0.35">
      <c r="A30">
        <v>2022</v>
      </c>
      <c r="B30">
        <v>5</v>
      </c>
    </row>
    <row r="31" spans="1:2" x14ac:dyDescent="0.35">
      <c r="A31">
        <v>2024</v>
      </c>
      <c r="B31">
        <v>2</v>
      </c>
    </row>
    <row r="32" spans="1:2" x14ac:dyDescent="0.35">
      <c r="A32">
        <v>2026</v>
      </c>
      <c r="B32">
        <v>1</v>
      </c>
    </row>
  </sheetData>
  <mergeCells count="1">
    <mergeCell ref="A4:H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95" customWidth="1"/>
    <col min="3" max="3" width="70" customWidth="1"/>
  </cols>
  <sheetData>
    <row r="1" spans="1:3" x14ac:dyDescent="0.35">
      <c r="A1" s="9" t="s">
        <v>166</v>
      </c>
      <c r="B1" s="9" t="s">
        <v>167</v>
      </c>
      <c r="C1" s="9" t="s">
        <v>168</v>
      </c>
    </row>
    <row r="2" spans="1:3" ht="29" x14ac:dyDescent="0.35">
      <c r="A2" s="2" t="s">
        <v>169</v>
      </c>
      <c r="B2" s="10" t="s">
        <v>170</v>
      </c>
      <c r="C2" s="2" t="s">
        <v>171</v>
      </c>
    </row>
    <row r="3" spans="1:3" ht="29" x14ac:dyDescent="0.35">
      <c r="A3" s="2" t="s">
        <v>172</v>
      </c>
      <c r="B3" s="10" t="s">
        <v>173</v>
      </c>
      <c r="C3" s="2" t="s">
        <v>174</v>
      </c>
    </row>
    <row r="4" spans="1:3" ht="29" x14ac:dyDescent="0.35">
      <c r="A4" s="2" t="s">
        <v>175</v>
      </c>
      <c r="B4" s="10" t="s">
        <v>49</v>
      </c>
      <c r="C4" s="2" t="s">
        <v>176</v>
      </c>
    </row>
    <row r="5" spans="1:3" ht="15.5" x14ac:dyDescent="0.35">
      <c r="A5" s="2" t="s">
        <v>177</v>
      </c>
      <c r="B5" s="10" t="s">
        <v>178</v>
      </c>
      <c r="C5" s="2" t="s">
        <v>179</v>
      </c>
    </row>
    <row r="6" spans="1:3" ht="29" x14ac:dyDescent="0.35">
      <c r="A6" s="2" t="s">
        <v>180</v>
      </c>
      <c r="B6" s="10" t="s">
        <v>87</v>
      </c>
      <c r="C6" s="2" t="s">
        <v>181</v>
      </c>
    </row>
    <row r="7" spans="1:3" ht="15.5" x14ac:dyDescent="0.35">
      <c r="A7" s="2" t="s">
        <v>182</v>
      </c>
      <c r="B7" s="10" t="s">
        <v>183</v>
      </c>
      <c r="C7" s="2" t="s">
        <v>184</v>
      </c>
    </row>
    <row r="8" spans="1:3" ht="15.5" x14ac:dyDescent="0.35">
      <c r="A8" s="2" t="s">
        <v>185</v>
      </c>
      <c r="B8" s="10" t="s">
        <v>94</v>
      </c>
      <c r="C8" s="2" t="s">
        <v>186</v>
      </c>
    </row>
    <row r="9" spans="1:3" ht="15.5" x14ac:dyDescent="0.35">
      <c r="A9" s="2" t="s">
        <v>187</v>
      </c>
      <c r="B9" s="10" t="s">
        <v>127</v>
      </c>
      <c r="C9" s="2" t="s">
        <v>188</v>
      </c>
    </row>
    <row r="10" spans="1:3" ht="15.5" x14ac:dyDescent="0.35">
      <c r="A10" s="2" t="s">
        <v>189</v>
      </c>
      <c r="B10" s="10" t="s">
        <v>190</v>
      </c>
      <c r="C10" s="2" t="s">
        <v>191</v>
      </c>
    </row>
    <row r="11" spans="1:3" ht="15.5" x14ac:dyDescent="0.35">
      <c r="A11" s="2" t="s">
        <v>192</v>
      </c>
      <c r="B11" s="10" t="s">
        <v>156</v>
      </c>
      <c r="C11" s="2" t="s">
        <v>193</v>
      </c>
    </row>
    <row r="12" spans="1:3" ht="15.5" x14ac:dyDescent="0.35">
      <c r="A12" s="2" t="s">
        <v>194</v>
      </c>
      <c r="B12" s="10" t="s">
        <v>149</v>
      </c>
      <c r="C12" s="2" t="s">
        <v>195</v>
      </c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2" r:id="rId11" xr:uid="{00000000-0004-0000-0200-00000A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/>
  </sheetViews>
  <sheetFormatPr defaultRowHeight="14.5" x14ac:dyDescent="0.35"/>
  <cols>
    <col min="1" max="1" width="42" customWidth="1"/>
    <col min="2" max="2" width="18" customWidth="1"/>
    <col min="3" max="3" width="90" customWidth="1"/>
  </cols>
  <sheetData>
    <row r="1" spans="1:3" x14ac:dyDescent="0.35">
      <c r="A1" s="11" t="s">
        <v>196</v>
      </c>
      <c r="B1" s="11" t="s">
        <v>197</v>
      </c>
      <c r="C1" s="11" t="s">
        <v>13</v>
      </c>
    </row>
    <row r="2" spans="1:3" x14ac:dyDescent="0.35">
      <c r="A2" s="2" t="s">
        <v>198</v>
      </c>
      <c r="B2" s="2" t="s">
        <v>20</v>
      </c>
      <c r="C2" s="2" t="s">
        <v>199</v>
      </c>
    </row>
    <row r="3" spans="1:3" x14ac:dyDescent="0.35">
      <c r="A3" s="2" t="s">
        <v>200</v>
      </c>
      <c r="B3" s="2" t="s">
        <v>20</v>
      </c>
      <c r="C3" s="2" t="s">
        <v>201</v>
      </c>
    </row>
    <row r="4" spans="1:3" x14ac:dyDescent="0.35">
      <c r="A4" s="2" t="s">
        <v>202</v>
      </c>
      <c r="B4" s="2" t="s">
        <v>20</v>
      </c>
      <c r="C4" s="2" t="s">
        <v>203</v>
      </c>
    </row>
    <row r="5" spans="1:3" x14ac:dyDescent="0.35">
      <c r="A5" s="2" t="s">
        <v>204</v>
      </c>
      <c r="B5" s="2" t="s">
        <v>63</v>
      </c>
      <c r="C5" s="2" t="s">
        <v>205</v>
      </c>
    </row>
    <row r="6" spans="1:3" x14ac:dyDescent="0.35">
      <c r="A6" s="2" t="s">
        <v>206</v>
      </c>
      <c r="B6" s="2" t="s">
        <v>63</v>
      </c>
      <c r="C6" s="2" t="s">
        <v>207</v>
      </c>
    </row>
    <row r="7" spans="1:3" x14ac:dyDescent="0.35">
      <c r="A7" s="2" t="s">
        <v>208</v>
      </c>
      <c r="B7" s="2" t="s">
        <v>209</v>
      </c>
      <c r="C7" s="2" t="s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5" x14ac:dyDescent="0.35"/>
  <cols>
    <col min="1" max="1" width="24" customWidth="1"/>
    <col min="2" max="2" width="110" customWidth="1"/>
  </cols>
  <sheetData>
    <row r="1" spans="1:2" x14ac:dyDescent="0.35">
      <c r="A1" s="12" t="s">
        <v>211</v>
      </c>
      <c r="B1" s="12" t="s">
        <v>212</v>
      </c>
    </row>
    <row r="2" spans="1:2" x14ac:dyDescent="0.35">
      <c r="A2" s="2" t="s">
        <v>213</v>
      </c>
      <c r="B2" s="2" t="s">
        <v>214</v>
      </c>
    </row>
    <row r="3" spans="1:2" x14ac:dyDescent="0.35">
      <c r="A3" s="2" t="s">
        <v>215</v>
      </c>
      <c r="B3" s="2" t="s">
        <v>216</v>
      </c>
    </row>
    <row r="4" spans="1:2" x14ac:dyDescent="0.35">
      <c r="A4" s="2" t="s">
        <v>217</v>
      </c>
      <c r="B4" s="2" t="s">
        <v>218</v>
      </c>
    </row>
    <row r="5" spans="1:2" x14ac:dyDescent="0.35">
      <c r="A5" s="2" t="s">
        <v>13</v>
      </c>
      <c r="B5" s="2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Kőszeg_projektek</vt:lpstr>
      <vt:lpstr>Összesítő</vt:lpstr>
      <vt:lpstr>Források</vt:lpstr>
      <vt:lpstr>Ellenőrzendő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Romanovics Orsolya</cp:lastModifiedBy>
  <dcterms:created xsi:type="dcterms:W3CDTF">2026-05-25T14:34:35Z</dcterms:created>
  <dcterms:modified xsi:type="dcterms:W3CDTF">2026-05-25T14:42:50Z</dcterms:modified>
</cp:coreProperties>
</file>